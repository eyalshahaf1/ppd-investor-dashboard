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6d34889a5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401627807c4a80"/>
    <x:sheet xmlns:r="http://schemas.openxmlformats.org/officeDocument/2006/relationships" name="Pilot Inputs" sheetId="2" r:id="Rb1be27553aeb4fc5"/>
    <x:sheet xmlns:r="http://schemas.openxmlformats.org/officeDocument/2006/relationships" name="Workflow Evidence" sheetId="3" r:id="R5191b8c386474a0e"/>
    <x:sheet xmlns:r="http://schemas.openxmlformats.org/officeDocument/2006/relationships" name="Verified Ledger" sheetId="4" r:id="R9198def145054da7"/>
    <x:sheet xmlns:r="http://schemas.openxmlformats.org/officeDocument/2006/relationships" name="Scenario Output" sheetId="5" r:id="R663589442b81467c"/>
    <x:sheet xmlns:r="http://schemas.openxmlformats.org/officeDocument/2006/relationships" name="Partner Instruction" sheetId="6" r:id="Rc7c43eb3476449dc"/>
    <x:sheet xmlns:r="http://schemas.openxmlformats.org/officeDocument/2006/relationships" name="Privacy Checks" sheetId="7" r:id="R79a67d76a797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@"/>
    <x:numFmt numFmtId="203" formatCode="¥#,##0"/>
  </x:numFmts>
  <x:fonts count="1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5A6862"/>
      <x:name val="Carlito"/>
    </x:font>
    <x:font>
      <x:sz val="10"/>
      <x:color rgb="FF5A6862"/>
      <x:name val="Carlito"/>
    </x:font>
    <x:font>
      <x:sz val="11"/>
      <x:color rgb="FF00234C"/>
      <x:name val="Carlito"/>
    </x:font>
    <x:font>
      <x:b/>
      <x:sz val="11"/>
      <x:color rgb="FF00234C"/>
      <x:name val="Carlito"/>
    </x:font>
    <x:font>
      <x:sz val="11"/>
      <x:color rgb="FF0B6B5A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0"/>
      <x:color rgb="FF5A6862"/>
      <x:name val="Aptos"/>
    </x:font>
    <x:font>
      <x:sz val="11"/>
      <x:name val="Aptos"/>
    </x:font>
    <x:font>
      <x:b/>
      <x:sz val="11"/>
      <x:color rgb="FF00234C"/>
      <x:name val="Aptos"/>
    </x:font>
    <x:font>
      <x:sz val="11"/>
      <x:color rgb="FF0B6B5A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0234C"/>
      </x:patternFill>
    </x:fill>
    <x:fill>
      <x:patternFill patternType="solid">
        <x:fgColor rgb="FFF4F7F6"/>
      </x:patternFill>
    </x:fill>
    <x:fill>
      <x:patternFill patternType="solid">
        <x:fgColor rgb="FFFFF4D8"/>
      </x:patternFill>
    </x:fill>
    <x:fill>
      <x:patternFill patternType="solid">
        <x:fgColor rgb="FFEEF8F5"/>
      </x:patternFill>
    </x:fill>
  </x:fills>
  <x:borders count="2">
    <x:border/>
    <x:border>
      <x:left style="thin">
        <x:color rgb="FFD8E0DC"/>
      </x:left>
      <x:right style="thin">
        <x:color rgb="FFD8E0DC"/>
      </x:right>
      <x:top style="thin">
        <x:color rgb="FFD8E0DC"/>
      </x:top>
      <x:bottom style="thin">
        <x:color rgb="FFD8E0DC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0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203" fontId="8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203" fontId="9" fillId="5" borderId="1" xfId="0" applyNumberFormat="1" applyFont="1" applyFill="1" applyBorder="1" applyAlignment="1">
      <x:alignment vertical="top" wrapText="1"/>
    </x:xf>
    <x:xf numFmtId="200" fontId="9" fillId="5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1" fontId="12" fillId="4" borderId="1" xfId="0" applyNumberFormat="1" applyFont="1" applyFill="1" applyBorder="1" applyAlignment="1">
      <x:alignment vertical="top" wrapText="1"/>
    </x:xf>
    <x:xf numFmtId="200" fontId="12" fillId="4" borderId="1" xfId="0" applyNumberFormat="1" applyFont="1" applyFill="1" applyBorder="1" applyAlignment="1">
      <x:alignment vertical="top" wrapText="1"/>
    </x:xf>
    <x:xf numFmtId="202" fontId="12" fillId="4" borderId="1" xfId="0" applyNumberFormat="1" applyFont="1" applyFill="1" applyBorder="1" applyAlignment="1">
      <x:alignment vertical="top" wrapText="1"/>
    </x:xf>
    <x:xf numFmtId="0" fontId="12" fillId="4" borderId="1" xfId="0" applyNumberFormat="1" applyFont="1" applyFill="1" applyBorder="1" applyAlignment="1">
      <x:alignment vertical="top" wrapText="1"/>
    </x:xf>
    <x:xf numFmtId="203" fontId="12" fillId="0" borderId="1" xfId="0" applyNumberFormat="1" applyFont="1" applyFill="1" applyBorder="1" applyAlignment="1">
      <x:alignment vertical="top" wrapText="1"/>
    </x:xf>
    <x:xf numFmtId="203" fontId="14" fillId="5" borderId="1" xfId="0" applyNumberFormat="1" applyFont="1" applyFill="1" applyBorder="1" applyAlignment="1">
      <x:alignment vertical="top" wrapText="1"/>
    </x:xf>
    <x:xf numFmtId="200" fontId="12" fillId="5" borderId="1" xfId="0" applyNumberFormat="1" applyFont="1" applyFill="1" applyBorder="1" applyAlignment="1">
      <x:alignment vertical="top" wrapText="1"/>
    </x:xf>
    <x:xf numFmtId="203" fontId="12" fillId="5" borderId="1" xfId="0" applyNumberFormat="1" applyFont="1" applyFill="1" applyBorder="1" applyAlignment="1">
      <x:alignment vertical="top" wrapText="1"/>
    </x:xf>
    <x:xf numFmtId="203" fontId="15" fillId="5" borderId="1" xfId="0" applyNumberFormat="1" applyFont="1" applyFill="1" applyBorder="1" applyAlignment="1">
      <x:alignment vertical="top" wrapText="1"/>
    </x:xf>
    <x:xf numFmtId="200" fontId="15" fillId="5" borderId="1" xfId="0" applyNumberFormat="1" applyFont="1" applyFill="1" applyBorder="1" applyAlignment="1">
      <x:alignment vertical="top" wrapText="1"/>
    </x:xf>
    <x:xf numFmtId="202" fontId="12" fillId="5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cfdd25d494581" /><Relationship Type="http://schemas.openxmlformats.org/officeDocument/2006/relationships/theme" Target="/xl/theme/theme1.xml" Id="Re3edac3d999b47f9" /><Relationship Type="http://schemas.openxmlformats.org/officeDocument/2006/relationships/sharedStrings" Target="/xl/sharedStrings.xml" Id="R19a03cd888374c98" /><Relationship Type="http://schemas.openxmlformats.org/officeDocument/2006/relationships/worksheet" Target="/xl/worksheets/sheet1.xml" Id="R4f401627807c4a80" /><Relationship Type="http://schemas.openxmlformats.org/officeDocument/2006/relationships/worksheet" Target="/xl/worksheets/sheet2.xml" Id="Rb1be27553aeb4fc5" /><Relationship Type="http://schemas.openxmlformats.org/officeDocument/2006/relationships/worksheet" Target="/xl/worksheets/sheet3.xml" Id="R5191b8c386474a0e" /><Relationship Type="http://schemas.openxmlformats.org/officeDocument/2006/relationships/worksheet" Target="/xl/worksheets/sheet4.xml" Id="R9198def145054da7" /><Relationship Type="http://schemas.openxmlformats.org/officeDocument/2006/relationships/worksheet" Target="/xl/worksheets/sheet5.xml" Id="R663589442b81467c" /><Relationship Type="http://schemas.openxmlformats.org/officeDocument/2006/relationships/worksheet" Target="/xl/worksheets/sheet6.xml" Id="Rc7c43eb3476449dc" /><Relationship Type="http://schemas.openxmlformats.org/officeDocument/2006/relationships/worksheet" Target="/xl/worksheets/sheet7.xml" Id="R79a67d76a79747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4" customHeight="1">
      <x:c r="A1" s="37" t="str">
        <x:v>TOMO PENSION - Detailed Demo Input Sample</x:v>
      </x:c>
      <x:c r="B1" s="37" t="str">
        <x:v>TOMO PENSION - Detailed Demo Input Sample</x:v>
      </x:c>
      <x:c r="C1" s="37" t="str">
        <x:v>TOMO PENSION - Detailed Demo Input Sample</x:v>
      </x:c>
      <x:c r="D1" s="37" t="str">
        <x:v>TOMO PENSION - Detailed Demo Input Sample</x:v>
      </x:c>
      <x:c r="E1" s="37" t="str">
        <x:v>TOMO PENSION - Detailed Demo Input Sample</x:v>
      </x:c>
      <x:c r="F1" s="37" t="str">
        <x:v>TOMO PENSION - Detailed Demo Input Sample</x:v>
      </x:c>
      <x:c r="G1" s="37" t="str">
        <x:v>TOMO PENSION - Detailed Demo Input Sample</x:v>
      </x:c>
      <x:c r="H1" s="37" t="str">
        <x:v>TOMO PENSION - Detailed Demo Input Sample</x:v>
      </x:c>
    </x:row>
    <x:row r="2">
      <x:c r="A2" s="38" t="str">
        <x:v>Safe aggregated demo workbook for investor walkthroughs and pilot preparation.</x:v>
      </x:c>
      <x:c r="B2" s="38" t="str">
        <x:v>Safe aggregated demo workbook for investor walkthroughs and pilot preparation.</x:v>
      </x:c>
      <x:c r="C2" s="38" t="str">
        <x:v>Safe aggregated demo workbook for investor walkthroughs and pilot preparation.</x:v>
      </x:c>
      <x:c r="D2" s="38" t="str">
        <x:v>Safe aggregated demo workbook for investor walkthroughs and pilot preparation.</x:v>
      </x:c>
      <x:c r="E2" s="38" t="str">
        <x:v>Safe aggregated demo workbook for investor walkthroughs and pilot preparation.</x:v>
      </x:c>
      <x:c r="F2" s="38" t="str">
        <x:v>Safe aggregated demo workbook for investor walkthroughs and pilot preparation.</x:v>
      </x:c>
      <x:c r="G2" s="38" t="str">
        <x:v>Safe aggregated demo workbook for investor walkthroughs and pilot preparation.</x:v>
      </x:c>
      <x:c r="H2" s="38" t="str">
        <x:v>Safe aggregated demo workbook for investor walkthroughs and pilot preparation.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5" t="str">
        <x:v>Purpose</x:v>
      </x:c>
      <x:c r="B4" s="36" t="str">
        <x:v>Demonstrate how aggregated workflow evidence becomes a verified AI gain ledger, pension allocation, company retained gain, and partner-ready instruction output.</x:v>
      </x:c>
      <x:c r="C4" s="39"/>
      <x:c r="D4" s="39"/>
      <x:c r="E4" s="39"/>
      <x:c r="F4" s="39"/>
      <x:c r="G4" s="39"/>
      <x:c r="H4" s="39"/>
    </x:row>
    <x:row r="5">
      <x:c r="A5" s="35" t="str">
        <x:v>How to use</x:v>
      </x:c>
      <x:c r="B5" s="36" t="str">
        <x:v>Start with the Workflow Evidence sheet. Edit yellow input cells and review formula-driven outputs in Verified Ledger and Scenario Output.</x:v>
      </x:c>
      <x:c r="C5" s="39"/>
      <x:c r="D5" s="39"/>
      <x:c r="E5" s="39"/>
      <x:c r="F5" s="39"/>
      <x:c r="G5" s="39"/>
      <x:c r="H5" s="39"/>
    </x:row>
    <x:row r="6">
      <x:c r="A6" s="35" t="str">
        <x:v>Data rule</x:v>
      </x:c>
      <x:c r="B6" s="36" t="str">
        <x:v>Use aggregated workflow, team, department, or process-level data. Do not include personal employee records.</x:v>
      </x:c>
      <x:c r="C6" s="39"/>
      <x:c r="D6" s="39"/>
      <x:c r="E6" s="39"/>
      <x:c r="F6" s="39"/>
      <x:c r="G6" s="39"/>
      <x:c r="H6" s="39"/>
    </x:row>
    <x:row r="7">
      <x:c r="A7" s="35" t="str">
        <x:v>Never upload</x:v>
      </x:c>
      <x:c r="B7" s="36" t="str">
        <x:v>National IDs, bank details, pension account numbers, individual salaries, passwords, API keys, secrets, or personal employee records.</x:v>
      </x:c>
      <x:c r="C7" s="39"/>
      <x:c r="D7" s="39"/>
      <x:c r="E7" s="39"/>
      <x:c r="F7" s="39"/>
      <x:c r="G7" s="39"/>
      <x:c r="H7" s="39"/>
    </x:row>
    <x:row r="8">
      <x:c r="A8" s="35" t="str">
        <x:v>Eligible value</x:v>
      </x:c>
      <x:c r="B8" s="36" t="str">
        <x:v>Only documented O, S, Q, M outcomes enter eligible gross gain. A represents AI-related costs deducted from the verified gain.</x:v>
      </x:c>
      <x:c r="C8" s="39"/>
      <x:c r="D8" s="39"/>
      <x:c r="E8" s="39"/>
      <x:c r="F8" s="39"/>
      <x:c r="G8" s="39"/>
      <x:c r="H8" s="39"/>
    </x:row>
    <x:row r="9">
      <x:c r="A9" s="35" t="str">
        <x:v>O</x:v>
      </x:c>
      <x:c r="B9" s="36" t="str">
        <x:v>Operating cost avoided: evidenced process cost, overtime, or operational expense reduction.</x:v>
      </x:c>
      <x:c r="C9" s="39"/>
      <x:c r="D9" s="39"/>
      <x:c r="E9" s="39"/>
      <x:c r="F9" s="39"/>
      <x:c r="G9" s="39"/>
      <x:c r="H9" s="39"/>
    </x:row>
    <x:row r="10">
      <x:c r="A10" s="35" t="str">
        <x:v>S</x:v>
      </x:c>
      <x:c r="B10" s="36" t="str">
        <x:v>External spend avoided: contractor, outsourcing, temporary labour, or vendor spend reduction.</x:v>
      </x:c>
      <x:c r="C10" s="39"/>
      <x:c r="D10" s="39"/>
      <x:c r="E10" s="39"/>
      <x:c r="F10" s="39"/>
      <x:c r="G10" s="39"/>
      <x:c r="H10" s="39"/>
    </x:row>
    <x:row r="11">
      <x:c r="A11" s="35" t="str">
        <x:v>Q</x:v>
      </x:c>
      <x:c r="B11" s="36" t="str">
        <x:v>Quality value: fewer errors, rework, waste, service failures, or compliance events with financial evidence.</x:v>
      </x:c>
      <x:c r="C11" s="39"/>
      <x:c r="D11" s="39"/>
      <x:c r="E11" s="39"/>
      <x:c r="F11" s="39"/>
      <x:c r="G11" s="39"/>
      <x:c r="H11" s="39"/>
    </x:row>
    <x:row r="12">
      <x:c r="A12" s="35" t="str">
        <x:v>M</x:v>
      </x:c>
      <x:c r="B12" s="36" t="str">
        <x:v>Margin or throughput value: evidenced additional output with contribution margin.</x:v>
      </x:c>
      <x:c r="C12" s="39"/>
      <x:c r="D12" s="39"/>
      <x:c r="E12" s="39"/>
      <x:c r="F12" s="39"/>
      <x:c r="G12" s="39"/>
      <x:c r="H12" s="39"/>
    </x:row>
    <x:row r="13">
      <x:c r="A13" s="35" t="str">
        <x:v>A</x:v>
      </x:c>
      <x:c r="B13" s="36" t="str">
        <x:v>AI-related costs: licences, cloud, integration, training, security, maintenance, change management.</x:v>
      </x:c>
      <x:c r="C13" s="39"/>
      <x:c r="D13" s="39"/>
      <x:c r="E13" s="39"/>
      <x:c r="F13" s="39"/>
      <x:c r="G13" s="39"/>
      <x:c r="H13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24" hidden="0" customWidth="1"/>
    <x:col min="4" max="4" width="58" hidden="0" customWidth="1"/>
  </x:cols>
  <x:sheetData>
    <x:row r="1" ht="34" customHeight="1">
      <x:c r="A1" s="37" t="str">
        <x:v>Pilot Inputs</x:v>
      </x:c>
      <x:c r="B1" s="37" t="str">
        <x:v>Pilot Inputs</x:v>
      </x:c>
      <x:c r="C1" s="37" t="str">
        <x:v>Pilot Inputs</x:v>
      </x:c>
      <x:c r="D1" s="37" t="str">
        <x:v>Pilot Inputs</x:v>
      </x:c>
      <x:c r="E1" s="37" t="str">
        <x:v>Pilot Inputs</x:v>
      </x:c>
      <x:c r="F1" s="37" t="str">
        <x:v>Pilot Inputs</x:v>
      </x:c>
      <x:c r="G1" s="39"/>
      <x:c r="H1" s="39"/>
    </x:row>
    <x:row r="2">
      <x:c r="A2" s="38" t="str">
        <x:v>Editable assumptions for a process-level CFO review. Values are illustrative.</x:v>
      </x:c>
      <x:c r="B2" s="38" t="str">
        <x:v>Editable assumptions for a process-level CFO review. Values are illustrative.</x:v>
      </x:c>
      <x:c r="C2" s="38" t="str">
        <x:v>Editable assumptions for a process-level CFO review. Values are illustrative.</x:v>
      </x:c>
      <x:c r="D2" s="38" t="str">
        <x:v>Editable assumptions for a process-level CFO review. Values are illustrative.</x:v>
      </x:c>
      <x:c r="E2" s="38" t="str">
        <x:v>Editable assumptions for a process-level CFO review. Values are illustrative.</x:v>
      </x:c>
      <x:c r="F2" s="38" t="str">
        <x:v>Editable assumptions for a process-level CFO review. Values are illustrative.</x:v>
      </x:c>
      <x:c r="G2" s="38" t="str">
        <x:v>Editable assumptions for a process-level CFO review. Values are illustrative.</x:v>
      </x:c>
      <x:c r="H2" s="38" t="str">
        <x:v>Editable assumptions for a process-level CFO review. Values are illustrative.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5" t="str">
        <x:v>Input</x:v>
      </x:c>
      <x:c r="B4" s="35" t="str">
        <x:v>Value</x:v>
      </x:c>
      <x:c r="C4" s="35" t="str">
        <x:v>Unit</x:v>
      </x:c>
      <x:c r="D4" s="35" t="str">
        <x:v>Notes</x:v>
      </x:c>
      <x:c r="E4" s="39"/>
      <x:c r="F4" s="39"/>
      <x:c r="G4" s="39"/>
      <x:c r="H4" s="39"/>
    </x:row>
    <x:row r="5">
      <x:c r="A5" s="36" t="str">
        <x:v>Pilot name</x:v>
      </x:c>
      <x:c r="B5" s="36" t="str">
        <x:v>Medium claims workflow demo</x:v>
      </x:c>
      <x:c r="C5" s="36" t="str">
        <x:v>text</x:v>
      </x:c>
      <x:c r="D5" s="36" t="str">
        <x:v>Use a workflow name, not a customer secret.</x:v>
      </x:c>
      <x:c r="E5" s="39"/>
      <x:c r="F5" s="39"/>
      <x:c r="G5" s="39"/>
      <x:c r="H5" s="39"/>
    </x:row>
    <x:row r="6">
      <x:c r="A6" s="36" t="str">
        <x:v>Employer count</x:v>
      </x:c>
      <x:c r="B6" s="40" t="n">
        <x:v>1</x:v>
      </x:c>
      <x:c r="C6" s="36" t="str">
        <x:v>employers</x:v>
      </x:c>
      <x:c r="D6" s="36" t="str">
        <x:v>Rollout multiplier for illustrative expansion.</x:v>
      </x:c>
      <x:c r="E6" s="39"/>
      <x:c r="F6" s="39"/>
      <x:c r="G6" s="39"/>
      <x:c r="H6" s="39"/>
    </x:row>
    <x:row r="7">
      <x:c r="A7" s="36" t="str">
        <x:v>Employees covered</x:v>
      </x:c>
      <x:c r="B7" s="40" t="n">
        <x:v>10000</x:v>
      </x:c>
      <x:c r="C7" s="36" t="str">
        <x:v>employees</x:v>
      </x:c>
      <x:c r="D7" s="36" t="str">
        <x:v>Aggregated eligible population agreed before measurement.</x:v>
      </x:c>
      <x:c r="E7" s="39"/>
      <x:c r="F7" s="39"/>
      <x:c r="G7" s="39"/>
      <x:c r="H7" s="39"/>
    </x:row>
    <x:row r="8">
      <x:c r="A8" s="36" t="str">
        <x:v>Measurement period</x:v>
      </x:c>
      <x:c r="B8" s="41" t="str">
        <x:v>2026 Q1</x:v>
      </x:c>
      <x:c r="C8" s="36" t="str">
        <x:v>text</x:v>
      </x:c>
      <x:c r="D8" s="36" t="str">
        <x:v>Example period for demonstration.</x:v>
      </x:c>
      <x:c r="E8" s="39"/>
      <x:c r="F8" s="39"/>
      <x:c r="G8" s="39"/>
      <x:c r="H8" s="39"/>
    </x:row>
    <x:row r="9">
      <x:c r="A9" s="36" t="str">
        <x:v>Baseline annual process cost</x:v>
      </x:c>
      <x:c r="B9" s="41" t="n">
        <x:v>300000000</x:v>
      </x:c>
      <x:c r="C9" s="36" t="str">
        <x:v>JPY</x:v>
      </x:c>
      <x:c r="D9" s="36" t="str">
        <x:v>Annualized cost before AI changes.</x:v>
      </x:c>
      <x:c r="E9" s="39"/>
      <x:c r="F9" s="39"/>
      <x:c r="G9" s="39"/>
      <x:c r="H9" s="39"/>
    </x:row>
    <x:row r="10">
      <x:c r="A10" s="36" t="str">
        <x:v>Post-AI annual process cost</x:v>
      </x:c>
      <x:c r="B10" s="41" t="n">
        <x:v>0</x:v>
      </x:c>
      <x:c r="C10" s="36" t="str">
        <x:v>JPY</x:v>
      </x:c>
      <x:c r="D10" s="36" t="str">
        <x:v>Annualized cost after AI changes if measured directly.</x:v>
      </x:c>
      <x:c r="E10" s="39"/>
      <x:c r="F10" s="39"/>
      <x:c r="G10" s="39"/>
      <x:c r="H10" s="39"/>
    </x:row>
    <x:row r="11">
      <x:c r="A11" s="36" t="str">
        <x:v>Adjustment rate</x:v>
      </x:c>
      <x:c r="B11" s="42" t="n">
        <x:v>0.125</x:v>
      </x:c>
      <x:c r="C11" s="36" t="str">
        <x:v>%</x:v>
      </x:c>
      <x:c r="D11" s="36" t="str">
        <x:v>Conservative reduction for uncertainty, external factors, and evidence quality.</x:v>
      </x:c>
      <x:c r="E11" s="39"/>
      <x:c r="F11" s="39"/>
      <x:c r="G11" s="39"/>
      <x:c r="H11" s="39"/>
    </x:row>
    <x:row r="12">
      <x:c r="A12" s="36" t="str">
        <x:v>Allocation rate</x:v>
      </x:c>
      <x:c r="B12" s="40" t="n">
        <x:v>0.05</x:v>
      </x:c>
      <x:c r="C12" s="36" t="str">
        <x:v>%</x:v>
      </x:c>
      <x:c r="D12" s="36" t="str">
        <x:v>Pre-agreed share of net verified AI gain converted to pension value.</x:v>
      </x:c>
      <x:c r="E12" s="39"/>
      <x:c r="F12" s="39"/>
      <x:c r="G12" s="39"/>
      <x:c r="H12" s="39"/>
    </x:row>
    <x:row r="13">
      <x:c r="A13" s="36" t="str">
        <x:v>Quality gate</x:v>
      </x:c>
      <x:c r="B13" s="40" t="str">
        <x:v>Pass</x:v>
      </x:c>
      <x:c r="C13" s="36" t="str">
        <x:v>Pass/Review/Fail</x:v>
      </x:c>
      <x:c r="D13" s="36" t="str">
        <x:v>Allocation permitted only when evidence gate passes.</x:v>
      </x:c>
      <x:c r="E13" s="39"/>
      <x:c r="F13" s="39"/>
      <x:c r="G13" s="39"/>
      <x:c r="H13" s="39"/>
    </x:row>
    <x:row r="14">
      <x:c r="A14" s="36" t="str">
        <x:v>Default scenario</x:v>
      </x:c>
      <x:c r="B14" s="41" t="str">
        <x:v>Medium</x:v>
      </x:c>
      <x:c r="C14" s="36" t="str">
        <x:v>Low/Medium/High</x:v>
      </x:c>
      <x:c r="D14" s="36" t="str">
        <x:v>Illustrative adoption scenario, not verified pilot result.</x:v>
      </x:c>
      <x:c r="E14" s="39"/>
      <x:c r="F14" s="39"/>
      <x:c r="G14" s="39"/>
      <x:c r="H14" s="39"/>
    </x:row>
    <x:row r="15">
      <x:c r="A15" s="36" t="str">
        <x:v>Setup fee</x:v>
      </x:c>
      <x:c r="B15" s="41" t="n">
        <x:v>20000000</x:v>
      </x:c>
      <x:c r="C15" s="36" t="str">
        <x:v>JPY</x:v>
      </x:c>
      <x:c r="D15" s="36" t="str">
        <x:v>Platform economics assumption.</x:v>
      </x:c>
      <x:c r="E15" s="39"/>
      <x:c r="F15" s="39"/>
      <x:c r="G15" s="39"/>
      <x:c r="H15" s="39"/>
    </x:row>
    <x:row r="16">
      <x:c r="A16" s="36" t="str">
        <x:v>SaaS fee</x:v>
      </x:c>
      <x:c r="B16" s="43" t="n">
        <x:v>500</x:v>
      </x:c>
      <x:c r="C16" s="36" t="str">
        <x:v>JPY / employee / month</x:v>
      </x:c>
      <x:c r="D16" s="36" t="str">
        <x:v>Platform economics assumption.</x:v>
      </x:c>
      <x:c r="E16" s="39"/>
      <x:c r="F16" s="39"/>
      <x:c r="G16" s="39"/>
      <x:c r="H16" s="39"/>
    </x:row>
    <x:row r="17">
      <x:c r="A17" s="36" t="str">
        <x:v>Instruction fee</x:v>
      </x:c>
      <x:c r="B17" s="41" t="n">
        <x:v>0.005</x:v>
      </x:c>
      <x:c r="C17" s="36" t="str">
        <x:v>% of allocation</x:v>
      </x:c>
      <x:c r="D17" s="36" t="str">
        <x:v>Separately invoiced fee assumption.</x:v>
      </x:c>
      <x:c r="E17" s="39"/>
      <x:c r="F17" s="39"/>
      <x:c r="G17" s="39"/>
      <x:c r="H17" s="39"/>
    </x:row>
    <x:row r="18">
      <x:c r="A18" s="36" t="str">
        <x:v>Verification fee</x:v>
      </x:c>
      <x:c r="B18" s="43" t="n">
        <x:v>2000000</x:v>
      </x:c>
      <x:c r="C18" s="36" t="str">
        <x:v>JPY / employer / year</x:v>
      </x:c>
      <x:c r="D18" s="36" t="str">
        <x:v>Platform economics assumption.</x:v>
      </x:c>
      <x:c r="E18" s="39"/>
      <x:c r="F18" s="39"/>
      <x:c r="G18" s="39"/>
      <x:c r="H18" s="39"/>
    </x:row>
    <x:row r="19">
      <x:c r="A19" s="36" t="str">
        <x:v>Gross margin</x:v>
      </x:c>
      <x:c r="B19" s="43" t="n">
        <x:v>0.7</x:v>
      </x:c>
      <x:c r="C19" s="36" t="str">
        <x:v>%</x:v>
      </x:c>
      <x:c r="D19" s="36" t="str">
        <x:v>Illustrative platform economics assumption.</x:v>
      </x:c>
      <x:c r="E19" s="39"/>
      <x:c r="F19" s="39"/>
      <x:c r="G19" s="39"/>
      <x:c r="H19" s="39"/>
    </x:row>
  </x:sheetData>
  <x:mergeCells>
    <x:mergeCell ref="A1:F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16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42" hidden="0" customWidth="1"/>
    <x:col min="12" max="12" width="15" hidden="0" customWidth="1"/>
    <x:col min="13" max="13" width="18" hidden="0" customWidth="1"/>
    <x:col min="14" max="14" width="24" hidden="0" customWidth="1"/>
  </x:cols>
  <x:sheetData>
    <x:row r="1" ht="34" customHeight="1">
      <x:c r="A1" s="37" t="str">
        <x:v>Workflow Evidence</x:v>
      </x:c>
      <x:c r="B1" s="37" t="str">
        <x:v>Workflow Evidence</x:v>
      </x:c>
      <x:c r="C1" s="37" t="str">
        <x:v>Workflow Evidence</x:v>
      </x:c>
      <x:c r="D1" s="37" t="str">
        <x:v>Workflow Evidence</x:v>
      </x:c>
      <x:c r="E1" s="37" t="str">
        <x:v>Workflow Evidence</x:v>
      </x:c>
      <x:c r="F1" s="37" t="str">
        <x:v>Workflow Evidence</x:v>
      </x:c>
      <x:c r="G1" s="37" t="str">
        <x:v>Workflow Evidence</x:v>
      </x:c>
      <x:c r="H1" s="37" t="str">
        <x:v>Workflow Evidence</x:v>
      </x:c>
      <x:c r="I1" s="37" t="str">
        <x:v>Workflow Evidence</x:v>
      </x:c>
      <x:c r="J1" s="37" t="str">
        <x:v>Workflow Evidence</x:v>
      </x:c>
      <x:c r="K1" s="37" t="str">
        <x:v>Workflow Evidence</x:v>
      </x:c>
      <x:c r="L1" s="37" t="str">
        <x:v>Workflow Evidence</x:v>
      </x:c>
      <x:c r="M1" s="37" t="str">
        <x:v>Workflow Evidence</x:v>
      </x:c>
      <x:c r="N1" s="37" t="str">
        <x:v>Workflow Evidence</x:v>
      </x:c>
    </x:row>
    <x:row r="2">
      <x:c r="A2" s="38" t="str">
        <x:v>Aggregated operational evidence reconciled to O, S, Q, M, and A categories.</x:v>
      </x:c>
      <x:c r="B2" s="38" t="str">
        <x:v>Aggregated operational evidence reconciled to O, S, Q, M, and A categories.</x:v>
      </x:c>
      <x:c r="C2" s="38" t="str">
        <x:v>Aggregated operational evidence reconciled to O, S, Q, M, and A categories.</x:v>
      </x:c>
      <x:c r="D2" s="38" t="str">
        <x:v>Aggregated operational evidence reconciled to O, S, Q, M, and A categories.</x:v>
      </x:c>
      <x:c r="E2" s="38" t="str">
        <x:v>Aggregated operational evidence reconciled to O, S, Q, M, and A categories.</x:v>
      </x:c>
      <x:c r="F2" s="38" t="str">
        <x:v>Aggregated operational evidence reconciled to O, S, Q, M, and A categories.</x:v>
      </x:c>
      <x:c r="G2" s="38" t="str">
        <x:v>Aggregated operational evidence reconciled to O, S, Q, M, and A categories.</x:v>
      </x:c>
      <x:c r="H2" s="38" t="str">
        <x:v>Aggregated operational evidence reconciled to O, S, Q, M, and A categories.</x:v>
      </x:c>
      <x:c r="I2" s="39"/>
      <x:c r="J2" s="39"/>
      <x:c r="K2" s="39"/>
      <x:c r="L2" s="39"/>
      <x:c r="M2" s="39"/>
      <x:c r="N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35" t="str">
        <x:v>Category</x:v>
      </x:c>
      <x:c r="B4" s="35" t="str">
        <x:v>Evidence source</x:v>
      </x:c>
      <x:c r="C4" s="35" t="str">
        <x:v>Baseline</x:v>
      </x:c>
      <x:c r="D4" s="35" t="str">
        <x:v>Post-AI</x:v>
      </x:c>
      <x:c r="E4" s="35" t="str">
        <x:v>Unit</x:v>
      </x:c>
      <x:c r="F4" s="35" t="str">
        <x:v>Value JPY</x:v>
      </x:c>
      <x:c r="G4" s="35" t="str">
        <x:v>Owner</x:v>
      </x:c>
      <x:c r="H4" s="35" t="str">
        <x:v>Document ID</x:v>
      </x:c>
      <x:c r="I4" s="35" t="str">
        <x:v>Quality</x:v>
      </x:c>
      <x:c r="J4" s="35" t="str">
        <x:v>Eligible?</x:v>
      </x:c>
      <x:c r="K4" s="35" t="str">
        <x:v>Notes</x:v>
      </x:c>
      <x:c r="L4" s="35" t="str">
        <x:v>Privacy check</x:v>
      </x:c>
      <x:c r="M4" s="35" t="str">
        <x:v>Exclusion check</x:v>
      </x:c>
      <x:c r="N4" s="35" t="str">
        <x:v>Formula / method</x:v>
      </x:c>
    </x:row>
    <x:row r="5">
      <x:c r="A5" s="36" t="str">
        <x:v>O</x:v>
      </x:c>
      <x:c r="B5" s="36" t="str">
        <x:v>Annualized process cost avoided</x:v>
      </x:c>
      <x:c r="C5" s="36" t="n">
        <x:v>300000000</x:v>
      </x:c>
      <x:c r="D5" s="36" t="n">
        <x:v>0</x:v>
      </x:c>
      <x:c r="E5" s="36" t="str">
        <x:v>JPY</x:v>
      </x:c>
      <x:c r="F5" s="44" t="n">
        <x:f>C5-D5</x:f>
        <x:v>300000000</x:v>
      </x:c>
      <x:c r="G5" s="36" t="str">
        <x:v>Finance</x:v>
      </x:c>
      <x:c r="H5" s="36" t="str">
        <x:v>FIN-CLAIMS-Q1</x:v>
      </x:c>
      <x:c r="I5" s="36" t="str">
        <x:v>High</x:v>
      </x:c>
      <x:c r="J5" s="36" t="str">
        <x:v>Yes</x:v>
      </x:c>
      <x:c r="K5" s="36" t="str">
        <x:v>Measured cost reduction after reconciliation.</x:v>
      </x:c>
      <x:c r="L5" s="36" t="str">
        <x:v>Aggregated</x:v>
      </x:c>
      <x:c r="M5" s="36" t="str">
        <x:v>No layoff gain</x:v>
      </x:c>
      <x:c r="N5" s="36" t="str">
        <x:v>Baseline - Post-AI</x:v>
      </x:c>
    </x:row>
    <x:row r="6">
      <x:c r="A6" s="36" t="str">
        <x:v>O</x:v>
      </x:c>
      <x:c r="B6" s="36" t="str">
        <x:v>Avoided overtime cost</x:v>
      </x:c>
      <x:c r="C6" s="36" t="n">
        <x:v>18000000</x:v>
      </x:c>
      <x:c r="D6" s="36" t="n">
        <x:v>3000000</x:v>
      </x:c>
      <x:c r="E6" s="36" t="str">
        <x:v>JPY</x:v>
      </x:c>
      <x:c r="F6" s="44" t="n">
        <x:f>C6-D6</x:f>
        <x:v>15000000</x:v>
      </x:c>
      <x:c r="G6" s="36" t="str">
        <x:v>HR Ops</x:v>
      </x:c>
      <x:c r="H6" s="36" t="str">
        <x:v>PAYROLL-OT-Q1</x:v>
      </x:c>
      <x:c r="I6" s="36" t="str">
        <x:v>Medium</x:v>
      </x:c>
      <x:c r="J6" s="36" t="str">
        <x:v>Yes</x:v>
      </x:c>
      <x:c r="K6" s="36" t="str">
        <x:v>Payroll/time-record backed overtime reduction.</x:v>
      </x:c>
      <x:c r="L6" s="36" t="str">
        <x:v>Aggregated</x:v>
      </x:c>
      <x:c r="M6" s="36" t="str">
        <x:v>No layoff gain</x:v>
      </x:c>
      <x:c r="N6" s="36" t="str">
        <x:v>Baseline - Post-AI</x:v>
      </x:c>
    </x:row>
    <x:row r="7">
      <x:c r="A7" s="36" t="str">
        <x:v>S</x:v>
      </x:c>
      <x:c r="B7" s="36" t="str">
        <x:v>Avoided outsourcing spend</x:v>
      </x:c>
      <x:c r="C7" s="36" t="n">
        <x:v>24000000</x:v>
      </x:c>
      <x:c r="D7" s="36" t="n">
        <x:v>6000000</x:v>
      </x:c>
      <x:c r="E7" s="36" t="str">
        <x:v>JPY</x:v>
      </x:c>
      <x:c r="F7" s="44" t="n">
        <x:f>C7-D7</x:f>
        <x:v>18000000</x:v>
      </x:c>
      <x:c r="G7" s="36" t="str">
        <x:v>Procurement</x:v>
      </x:c>
      <x:c r="H7" s="36" t="str">
        <x:v>PO-OPS-Q1</x:v>
      </x:c>
      <x:c r="I7" s="36" t="str">
        <x:v>Medium</x:v>
      </x:c>
      <x:c r="J7" s="36" t="str">
        <x:v>Yes</x:v>
      </x:c>
      <x:c r="K7" s="36" t="str">
        <x:v>Vendor invoice reduction for same workflow scope.</x:v>
      </x:c>
      <x:c r="L7" s="36" t="str">
        <x:v>Aggregated</x:v>
      </x:c>
      <x:c r="M7" s="36" t="str">
        <x:v>No layoff gain</x:v>
      </x:c>
      <x:c r="N7" s="36" t="str">
        <x:v>Baseline - Post-AI</x:v>
      </x:c>
    </x:row>
    <x:row r="8">
      <x:c r="A8" s="36" t="str">
        <x:v>Q</x:v>
      </x:c>
      <x:c r="B8" s="36" t="str">
        <x:v>Rework and error savings</x:v>
      </x:c>
      <x:c r="C8" s="36" t="n">
        <x:v>16000000</x:v>
      </x:c>
      <x:c r="D8" s="36" t="n">
        <x:v>4000000</x:v>
      </x:c>
      <x:c r="E8" s="36" t="str">
        <x:v>JPY</x:v>
      </x:c>
      <x:c r="F8" s="44" t="n">
        <x:f>C8-D8</x:f>
        <x:v>12000000</x:v>
      </x:c>
      <x:c r="G8" s="36" t="str">
        <x:v>Quality</x:v>
      </x:c>
      <x:c r="H8" s="36" t="str">
        <x:v>QA-CLAIMS-Q1</x:v>
      </x:c>
      <x:c r="I8" s="36" t="str">
        <x:v>Medium</x:v>
      </x:c>
      <x:c r="J8" s="36" t="str">
        <x:v>Yes</x:v>
      </x:c>
      <x:c r="K8" s="36" t="str">
        <x:v>Financially evidenced rework reduction.</x:v>
      </x:c>
      <x:c r="L8" s="36" t="str">
        <x:v>Aggregated</x:v>
      </x:c>
      <x:c r="M8" s="36" t="str">
        <x:v>No layoff gain</x:v>
      </x:c>
      <x:c r="N8" s="36" t="str">
        <x:v>Baseline - Post-AI</x:v>
      </x:c>
    </x:row>
    <x:row r="9">
      <x:c r="A9" s="36" t="str">
        <x:v>M</x:v>
      </x:c>
      <x:c r="B9" s="36" t="str">
        <x:v>Additional throughput margin</x:v>
      </x:c>
      <x:c r="C9" s="36" t="n">
        <x:v>0</x:v>
      </x:c>
      <x:c r="D9" s="36" t="n">
        <x:v>8000000000</x:v>
      </x:c>
      <x:c r="E9" s="36" t="str">
        <x:v>JPY</x:v>
      </x:c>
      <x:c r="F9" s="44" t="n">
        <x:f>D9</x:f>
        <x:v>8000000000</x:v>
      </x:c>
      <x:c r="G9" s="36" t="str">
        <x:v>Business Owner</x:v>
      </x:c>
      <x:c r="H9" s="36" t="str">
        <x:v>MARGIN-Q1</x:v>
      </x:c>
      <x:c r="I9" s="36" t="str">
        <x:v>Medium</x:v>
      </x:c>
      <x:c r="J9" s="36" t="str">
        <x:v>Yes</x:v>
      </x:c>
      <x:c r="K9" s="36" t="str">
        <x:v>Incremental contribution margin from evidenced throughput.</x:v>
      </x:c>
      <x:c r="L9" s="36" t="str">
        <x:v>Aggregated</x:v>
      </x:c>
      <x:c r="M9" s="36" t="str">
        <x:v>No layoff gain</x:v>
      </x:c>
      <x:c r="N9" s="36" t="str">
        <x:v>Post-AI margin</x:v>
      </x:c>
    </x:row>
    <x:row r="10">
      <x:c r="A10" s="36" t="str">
        <x:v>A</x:v>
      </x:c>
      <x:c r="B10" s="36" t="str">
        <x:v>AI-related costs</x:v>
      </x:c>
      <x:c r="C10" s="36" t="n">
        <x:v>0</x:v>
      </x:c>
      <x:c r="D10" s="36" t="n">
        <x:v>1100000000</x:v>
      </x:c>
      <x:c r="E10" s="36" t="str">
        <x:v>JPY</x:v>
      </x:c>
      <x:c r="F10" s="44" t="n">
        <x:f>D10</x:f>
        <x:v>1100000000</x:v>
      </x:c>
      <x:c r="G10" s="36" t="str">
        <x:v>Technology</x:v>
      </x:c>
      <x:c r="H10" s="36" t="str">
        <x:v>AI-COST-Q1</x:v>
      </x:c>
      <x:c r="I10" s="36" t="str">
        <x:v>High</x:v>
      </x:c>
      <x:c r="J10" s="36" t="str">
        <x:v>Deduct</x:v>
      </x:c>
      <x:c r="K10" s="36" t="str">
        <x:v>Licences, cloud, integration, security, training, maintenance.</x:v>
      </x:c>
      <x:c r="L10" s="36" t="str">
        <x:v>Aggregated</x:v>
      </x:c>
      <x:c r="M10" s="36" t="str">
        <x:v>Required deduction</x:v>
      </x:c>
      <x:c r="N10" s="36" t="str">
        <x:v>Post-AI cost</x:v>
      </x:c>
    </x:row>
  </x:sheetData>
  <x:mergeCells>
    <x:mergeCell ref="A1:N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58" hidden="0" customWidth="1"/>
  </x:cols>
  <x:sheetData>
    <x:row r="1" ht="34" customHeight="1">
      <x:c r="A1" s="37" t="str">
        <x:v>Verified AI Gain Ledger</x:v>
      </x:c>
      <x:c r="B1" s="37" t="str">
        <x:v>Verified AI Gain Ledger</x:v>
      </x:c>
      <x:c r="C1" s="37" t="str">
        <x:v>Verified AI Gain Ledger</x:v>
      </x:c>
      <x:c r="D1" s="37" t="str">
        <x:v>Verified AI Gain Ledger</x:v>
      </x:c>
      <x:c r="E1" s="37" t="str">
        <x:v>Verified AI Gain Ledger</x:v>
      </x:c>
      <x:c r="F1" s="37" t="str">
        <x:v>Verified AI Gain Ledger</x:v>
      </x:c>
      <x:c r="G1" s="39"/>
      <x:c r="H1" s="39"/>
    </x:row>
    <x:row r="2">
      <x:c r="A2" s="38" t="str">
        <x:v>Formula-driven CFO source of truth before any pension allocation.</x:v>
      </x:c>
      <x:c r="B2" s="38" t="str">
        <x:v>Formula-driven CFO source of truth before any pension allocation.</x:v>
      </x:c>
      <x:c r="C2" s="38" t="str">
        <x:v>Formula-driven CFO source of truth before any pension allocation.</x:v>
      </x:c>
      <x:c r="D2" s="38" t="str">
        <x:v>Formula-driven CFO source of truth before any pension allocation.</x:v>
      </x:c>
      <x:c r="E2" s="38" t="str">
        <x:v>Formula-driven CFO source of truth before any pension allocation.</x:v>
      </x:c>
      <x:c r="F2" s="38" t="str">
        <x:v>Formula-driven CFO source of truth before any pension allocation.</x:v>
      </x:c>
      <x:c r="G2" s="38" t="str">
        <x:v>Formula-driven CFO source of truth before any pension allocation.</x:v>
      </x:c>
      <x:c r="H2" s="38" t="str">
        <x:v>Formula-driven CFO source of truth before any pension allocation.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5" t="str">
        <x:v>Metric</x:v>
      </x:c>
      <x:c r="B4" s="35" t="str">
        <x:v>Value</x:v>
      </x:c>
      <x:c r="C4" s="35" t="str">
        <x:v>Formula</x:v>
      </x:c>
      <x:c r="D4" s="35" t="str">
        <x:v>Interpretation</x:v>
      </x:c>
      <x:c r="E4" s="39"/>
      <x:c r="F4" s="39"/>
      <x:c r="G4" s="39"/>
      <x:c r="H4" s="39"/>
    </x:row>
    <x:row r="5">
      <x:c r="A5" s="36" t="str">
        <x:v>Eligible Gross Gain</x:v>
      </x:c>
      <x:c r="B5" s="45" t="n">
        <x:f>SUMIF('Workflow Evidence'!A5:A10,"O",'Workflow Evidence'!F5:F10)+SUMIF('Workflow Evidence'!A5:A10,"S",'Workflow Evidence'!F5:F10)+SUMIF('Workflow Evidence'!A5:A10,"Q",'Workflow Evidence'!F5:F10)+SUMIF('Workflow Evidence'!A5:A10,"M",'Workflow Evidence'!F5:F10)</x:f>
        <x:v>8345000000</x:v>
      </x:c>
      <x:c r="C5" s="36" t="str">
        <x:v>O + S + Q + M</x:v>
      </x:c>
      <x:c r="D5" s="36" t="str">
        <x:v>Documented eligible financial outcome before adjustment.</x:v>
      </x:c>
      <x:c r="E5" s="39"/>
      <x:c r="F5" s="39"/>
      <x:c r="G5" s="39"/>
      <x:c r="H5" s="39"/>
    </x:row>
    <x:row r="6">
      <x:c r="A6" s="36" t="str">
        <x:v>Adjustment Rate</x:v>
      </x:c>
      <x:c r="B6" s="46" t="n">
        <x:f>'Pilot Inputs'!B11</x:f>
        <x:v>0.125</x:v>
      </x:c>
      <x:c r="C6" s="36" t="str">
        <x:v>Pilot Inputs</x:v>
      </x:c>
      <x:c r="D6" s="36" t="str">
        <x:v>Conservative haircut for uncertainty and evidence limitations.</x:v>
      </x:c>
      <x:c r="E6" s="39"/>
      <x:c r="F6" s="39"/>
      <x:c r="G6" s="39"/>
      <x:c r="H6" s="39"/>
    </x:row>
    <x:row r="7">
      <x:c r="A7" s="36" t="str">
        <x:v>Adjusted Gross Gain</x:v>
      </x:c>
      <x:c r="B7" s="47" t="n">
        <x:f>B5*(1-B6)</x:f>
        <x:v>7301875000</x:v>
      </x:c>
      <x:c r="C7" s="36" t="str">
        <x:v>Eligible Gross Gain × (1 - adjustment)</x:v>
      </x:c>
      <x:c r="D7" s="36" t="str">
        <x:v>Gross value after conservative adjustment.</x:v>
      </x:c>
      <x:c r="E7" s="39"/>
      <x:c r="F7" s="39"/>
      <x:c r="G7" s="39"/>
      <x:c r="H7" s="39"/>
    </x:row>
    <x:row r="8">
      <x:c r="A8" s="36" t="str">
        <x:v>AI-related Costs</x:v>
      </x:c>
      <x:c r="B8" s="47" t="n">
        <x:f>SUMIF('Workflow Evidence'!A5:A10,"A",'Workflow Evidence'!F5:F10)</x:f>
        <x:v>1100000000</x:v>
      </x:c>
      <x:c r="C8" s="36" t="str">
        <x:v>A</x:v>
      </x:c>
      <x:c r="D8" s="36" t="str">
        <x:v>Incremental AI costs deducted from eligible gain.</x:v>
      </x:c>
      <x:c r="E8" s="39"/>
      <x:c r="F8" s="39"/>
      <x:c r="G8" s="39"/>
      <x:c r="H8" s="39"/>
    </x:row>
    <x:row r="9">
      <x:c r="A9" s="36" t="str">
        <x:v>Net Verified AI Gain</x:v>
      </x:c>
      <x:c r="B9" s="48" t="n">
        <x:f>MAX(0,B7-B8)</x:f>
        <x:v>6201875000</x:v>
      </x:c>
      <x:c r="C9" s="36" t="str">
        <x:v>max(0, Adjusted Gross Gain - A)</x:v>
      </x:c>
      <x:c r="D9" s="36" t="str">
        <x:v>Only positive verified net gain can be allocated.</x:v>
      </x:c>
      <x:c r="E9" s="39"/>
      <x:c r="F9" s="39"/>
      <x:c r="G9" s="39"/>
      <x:c r="H9" s="39"/>
    </x:row>
    <x:row r="10">
      <x:c r="A10" s="36" t="str">
        <x:v>Allocation Rate</x:v>
      </x:c>
      <x:c r="B10" s="49" t="n">
        <x:f>'Pilot Inputs'!B12</x:f>
        <x:v>0.05</x:v>
      </x:c>
      <x:c r="C10" s="36" t="str">
        <x:v>Pilot Inputs</x:v>
      </x:c>
      <x:c r="D10" s="36" t="str">
        <x:v>Small pre-agreed share converted into retirement value.</x:v>
      </x:c>
      <x:c r="E10" s="39"/>
      <x:c r="F10" s="39"/>
      <x:c r="G10" s="39"/>
      <x:c r="H10" s="39"/>
    </x:row>
    <x:row r="11">
      <x:c r="A11" s="36" t="str">
        <x:v>Pension Allocation</x:v>
      </x:c>
      <x:c r="B11" s="48" t="n">
        <x:f>B9*B10</x:f>
        <x:v>310093750</x:v>
      </x:c>
      <x:c r="C11" s="36" t="str">
        <x:v>Net Verified AI Gain × allocation rate</x:v>
      </x:c>
      <x:c r="D11" s="36" t="str">
        <x:v>Retirement value created, not platform revenue.</x:v>
      </x:c>
      <x:c r="E11" s="39"/>
      <x:c r="F11" s="39"/>
      <x:c r="G11" s="39"/>
      <x:c r="H11" s="39"/>
    </x:row>
    <x:row r="12">
      <x:c r="A12" s="36" t="str">
        <x:v>Company Retained Gain</x:v>
      </x:c>
      <x:c r="B12" s="48" t="n">
        <x:f>B9-B11</x:f>
        <x:v>5891781250</x:v>
      </x:c>
      <x:c r="C12" s="36" t="str">
        <x:v>Net Verified AI Gain - Pension Allocation</x:v>
      </x:c>
      <x:c r="D12" s="36" t="str">
        <x:v>The company keeps most of the new AI-created value.</x:v>
      </x:c>
      <x:c r="E12" s="39"/>
      <x:c r="F12" s="39"/>
      <x:c r="G12" s="39"/>
      <x:c r="H12" s="39"/>
    </x:row>
    <x:row r="13">
      <x:c r="A13" s="36" t="str">
        <x:v>Pension Value / Employee</x:v>
      </x:c>
      <x:c r="B13" s="47" t="n">
        <x:f>IF('Pilot Inputs'!B7&gt;0,B11/'Pilot Inputs'!B7,0)</x:f>
        <x:v>31009.375</x:v>
      </x:c>
      <x:c r="C13" s="36" t="str">
        <x:v>Pension Allocation ÷ employees covered</x:v>
      </x:c>
      <x:c r="D13" s="36" t="str">
        <x:v>Illustrative annual value per covered employee.</x:v>
      </x:c>
      <x:c r="E13" s="39"/>
      <x:c r="F13" s="39"/>
      <x:c r="G13" s="39"/>
      <x:c r="H13" s="39"/>
    </x:row>
    <x:row r="14">
      <x:c r="A14" s="36" t="str">
        <x:v>Quality Gate</x:v>
      </x:c>
      <x:c r="B14" s="50" t="str">
        <x:f>'Pilot Inputs'!B13</x:f>
        <x:v>Pass</x:v>
      </x:c>
      <x:c r="C14" s="36" t="str">
        <x:v>Pilot Inputs</x:v>
      </x:c>
      <x:c r="D14" s="36" t="str">
        <x:v>Allocation should proceed only when gate passes.</x:v>
      </x:c>
      <x:c r="E14" s="39"/>
      <x:c r="F14" s="39"/>
      <x:c r="G14" s="39"/>
      <x:c r="H14" s="39"/>
    </x:row>
    <x:row r="15">
      <x:c r="A15" s="36" t="str">
        <x:v>No-gain rule</x:v>
      </x:c>
      <x:c r="B15" s="36" t="str">
        <x:v>If Net Verified AI Gain &lt;= 0, Pension Allocation = 0</x:v>
      </x:c>
      <x:c r="C15" s="36" t="str">
        <x:v>Guardrail</x:v>
      </x:c>
      <x:c r="D15" s="36" t="str">
        <x:v>No verified gain, no pension allocation.</x:v>
      </x:c>
      <x:c r="E15" s="39"/>
      <x:c r="F15" s="39"/>
      <x:c r="G15" s="39"/>
      <x:c r="H15" s="39"/>
    </x:row>
  </x:sheetData>
  <x:mergeCells>
    <x:mergeCell ref="A1:F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36" hidden="0" customWidth="1"/>
  </x:cols>
  <x:sheetData>
    <x:row r="1" ht="34" customHeight="1">
      <x:c r="A1" s="37" t="str">
        <x:v>Illustrative Scenario Output</x:v>
      </x:c>
      <x:c r="B1" s="37" t="str">
        <x:v>Illustrative Scenario Output</x:v>
      </x:c>
      <x:c r="C1" s="37" t="str">
        <x:v>Illustrative Scenario Output</x:v>
      </x:c>
      <x:c r="D1" s="37" t="str">
        <x:v>Illustrative Scenario Output</x:v>
      </x:c>
      <x:c r="E1" s="37" t="str">
        <x:v>Illustrative Scenario Output</x:v>
      </x:c>
      <x:c r="F1" s="37" t="str">
        <x:v>Illustrative Scenario Output</x:v>
      </x:c>
      <x:c r="G1" s="37" t="str">
        <x:v>Illustrative Scenario Output</x:v>
      </x:c>
      <x:c r="H1" s="37" t="str">
        <x:v>Illustrative Scenario Output</x:v>
      </x:c>
      <x:c r="I1" s="37" t="str">
        <x:v>Illustrative Scenario Output</x:v>
      </x:c>
      <x:c r="J1" s="37" t="str">
        <x:v>Illustrative Scenario Output</x:v>
      </x:c>
    </x:row>
    <x:row r="2">
      <x:c r="A2" s="38" t="str">
        <x:v>Adoption scenarios are illustrative scale discussions, not verified pilot results.</x:v>
      </x:c>
      <x:c r="B2" s="38" t="str">
        <x:v>Adoption scenarios are illustrative scale discussions, not verified pilot results.</x:v>
      </x:c>
      <x:c r="C2" s="38" t="str">
        <x:v>Adoption scenarios are illustrative scale discussions, not verified pilot results.</x:v>
      </x:c>
      <x:c r="D2" s="38" t="str">
        <x:v>Adoption scenarios are illustrative scale discussions, not verified pilot results.</x:v>
      </x:c>
      <x:c r="E2" s="38" t="str">
        <x:v>Adoption scenarios are illustrative scale discussions, not verified pilot results.</x:v>
      </x:c>
      <x:c r="F2" s="38" t="str">
        <x:v>Adoption scenarios are illustrative scale discussions, not verified pilot results.</x:v>
      </x:c>
      <x:c r="G2" s="38" t="str">
        <x:v>Adoption scenarios are illustrative scale discussions, not verified pilot results.</x:v>
      </x:c>
      <x:c r="H2" s="38" t="str">
        <x:v>Adoption scenarios are illustrative scale discussions, not verified pilot results.</x:v>
      </x:c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35" t="str">
        <x:v>Scenario</x:v>
      </x:c>
      <x:c r="B4" s="35" t="str">
        <x:v>Employers</x:v>
      </x:c>
      <x:c r="C4" s="35" t="str">
        <x:v>Employees</x:v>
      </x:c>
      <x:c r="D4" s="35" t="str">
        <x:v>Y1 Contribution</x:v>
      </x:c>
      <x:c r="E4" s="35" t="str">
        <x:v>Y3 Contribution</x:v>
      </x:c>
      <x:c r="F4" s="35" t="str">
        <x:v>Y5 Contribution</x:v>
      </x:c>
      <x:c r="G4" s="35" t="str">
        <x:v>Y5 AUM Influenced</x:v>
      </x:c>
      <x:c r="H4" s="35" t="str">
        <x:v>Y5 Platform Revenue</x:v>
      </x:c>
      <x:c r="I4" s="35" t="str">
        <x:v>Evidence status</x:v>
      </x:c>
      <x:c r="J4" s="35" t="str">
        <x:v>Note</x:v>
      </x:c>
    </x:row>
    <x:row r="5">
      <x:c r="A5" s="36" t="str">
        <x:v>Low</x:v>
      </x:c>
      <x:c r="B5" s="36" t="n">
        <x:v>5</x:v>
      </x:c>
      <x:c r="C5" s="36" t="n">
        <x:v>500000</x:v>
      </x:c>
      <x:c r="D5" s="44"/>
      <x:c r="E5" s="44"/>
      <x:c r="F5" s="44" t="n">
        <x:v>15000000000</x:v>
      </x:c>
      <x:c r="G5" s="44" t="n">
        <x:v>35800000000</x:v>
      </x:c>
      <x:c r="H5" s="44" t="n">
        <x:v>3500000000</x:v>
      </x:c>
      <x:c r="I5" s="36" t="str">
        <x:v>Illustrative</x:v>
      </x:c>
      <x:c r="J5" s="36" t="str">
        <x:v>Conservative adoption case.</x:v>
      </x:c>
    </x:row>
    <x:row r="6">
      <x:c r="A6" s="36" t="str">
        <x:v>Medium</x:v>
      </x:c>
      <x:c r="B6" s="36" t="n">
        <x:v>20</x:v>
      </x:c>
      <x:c r="C6" s="36" t="n">
        <x:v>2000000</x:v>
      </x:c>
      <x:c r="D6" s="44"/>
      <x:c r="E6" s="44"/>
      <x:c r="F6" s="44" t="n">
        <x:v>120000000000</x:v>
      </x:c>
      <x:c r="G6" s="44" t="n">
        <x:v>241400000000</x:v>
      </x:c>
      <x:c r="H6" s="44" t="n">
        <x:v>14600000000</x:v>
      </x:c>
      <x:c r="I6" s="36" t="str">
        <x:v>Illustrative</x:v>
      </x:c>
      <x:c r="J6" s="36" t="str">
        <x:v>Base investor discussion case.</x:v>
      </x:c>
    </x:row>
    <x:row r="7">
      <x:c r="A7" s="36" t="str">
        <x:v>High</x:v>
      </x:c>
      <x:c r="B7" s="36" t="n">
        <x:v>50</x:v>
      </x:c>
      <x:c r="C7" s="36" t="n">
        <x:v>5000000</x:v>
      </x:c>
      <x:c r="D7" s="44"/>
      <x:c r="E7" s="44"/>
      <x:c r="F7" s="44" t="n">
        <x:v>600000000000</x:v>
      </x:c>
      <x:c r="G7" s="44" t="n">
        <x:v>1100000000000</x:v>
      </x:c>
      <x:c r="H7" s="44" t="n">
        <x:v>39000000000</x:v>
      </x:c>
      <x:c r="I7" s="36" t="str">
        <x:v>Illustrative</x:v>
      </x:c>
      <x:c r="J7" s="36" t="str">
        <x:v>Upside adoption case.</x:v>
      </x:c>
    </x:row>
    <x:row r="8">
      <x:c r="A8" s="51" t="str">
        <x:v>Verified pilot</x:v>
      </x:c>
      <x:c r="B8" s="51" t="str">
        <x:v>From ledger</x:v>
      </x:c>
      <x:c r="C8" s="51" t="n">
        <x:f>'Pilot Inputs'!B7</x:f>
        <x:v>10000</x:v>
      </x:c>
      <x:c r="D8" s="47" t="n">
        <x:f>'Verified Ledger'!B11</x:f>
        <x:v>310093750</x:v>
      </x:c>
      <x:c r="E8" s="47" t="n">
        <x:f>'Verified Ledger'!B11*3</x:f>
        <x:v>930281250</x:v>
      </x:c>
      <x:c r="F8" s="47" t="n">
        <x:f>'Verified Ledger'!B11*5</x:f>
        <x:v>1550468750</x:v>
      </x:c>
      <x:c r="G8" s="47" t="n">
        <x:f>'Verified Ledger'!B11*5</x:f>
        <x:v>1550468750</x:v>
      </x:c>
      <x:c r="H8" s="47" t="n">
        <x:f>('Pilot Inputs'!B16*'Pilot Inputs'!B7*12)+('Pilot Inputs'!B18*'Pilot Inputs'!B6)+('Pilot Inputs'!B17*'Verified Ledger'!B11)</x:f>
        <x:v>63550468.75</x:v>
      </x:c>
      <x:c r="I8" s="51" t="str">
        <x:v>CFO source</x:v>
      </x:c>
      <x:c r="J8" s="51" t="str">
        <x:v>Use Verified Ledger for measured process result.</x:v>
      </x:c>
    </x:row>
  </x:sheetData>
  <x:mergeCells>
    <x:mergeCell ref="A1:J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5" hidden="0" customWidth="1"/>
    <x:col min="5" max="5" width="14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34" customHeight="1">
      <x:c r="A1" s="37" t="str">
        <x:v>Partner Instruction Dry Run</x:v>
      </x:c>
      <x:c r="B1" s="37" t="str">
        <x:v>Partner Instruction Dry Run</x:v>
      </x:c>
      <x:c r="C1" s="37" t="str">
        <x:v>Partner Instruction Dry Run</x:v>
      </x:c>
      <x:c r="D1" s="37" t="str">
        <x:v>Partner Instruction Dry Run</x:v>
      </x:c>
      <x:c r="E1" s="37" t="str">
        <x:v>Partner Instruction Dry Run</x:v>
      </x:c>
      <x:c r="F1" s="37" t="str">
        <x:v>Partner Instruction Dry Run</x:v>
      </x:c>
      <x:c r="G1" s="37" t="str">
        <x:v>Partner Instruction Dry Run</x:v>
      </x:c>
      <x:c r="H1" s="37" t="str">
        <x:v>Partner Instruction Dry Run</x:v>
      </x:c>
    </x:row>
    <x:row r="2">
      <x:c r="A2" s="38" t="str">
        <x:v>Instruction file/API payload for regulated partner rails. TOMO does not custody or move funds.</x:v>
      </x:c>
      <x:c r="B2" s="38" t="str">
        <x:v>Instruction file/API payload for regulated partner rails. TOMO does not custody or move funds.</x:v>
      </x:c>
      <x:c r="C2" s="38" t="str">
        <x:v>Instruction file/API payload for regulated partner rails. TOMO does not custody or move funds.</x:v>
      </x:c>
      <x:c r="D2" s="38" t="str">
        <x:v>Instruction file/API payload for regulated partner rails. TOMO does not custody or move funds.</x:v>
      </x:c>
      <x:c r="E2" s="38" t="str">
        <x:v>Instruction file/API payload for regulated partner rails. TOMO does not custody or move funds.</x:v>
      </x:c>
      <x:c r="F2" s="38" t="str">
        <x:v>Instruction file/API payload for regulated partner rails. TOMO does not custody or move funds.</x:v>
      </x:c>
      <x:c r="G2" s="38" t="str">
        <x:v>Instruction file/API payload for regulated partner rails. TOMO does not custody or move funds.</x:v>
      </x:c>
      <x:c r="H2" s="38" t="str">
        <x:v>Instruction file/API payload for regulated partner rails. TOMO does not custody or move funds.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5" t="str">
        <x:v>Instruction field</x:v>
      </x:c>
      <x:c r="B4" s="35" t="str">
        <x:v>Value</x:v>
      </x:c>
      <x:c r="C4" s="35" t="str">
        <x:v>Source</x:v>
      </x:c>
      <x:c r="D4" s="35" t="str">
        <x:v>Validation</x:v>
      </x:c>
      <x:c r="E4" s="35" t="str">
        <x:v>Owner</x:v>
      </x:c>
      <x:c r="F4" s="35" t="str">
        <x:v>Timing</x:v>
      </x:c>
      <x:c r="G4" s="35" t="str">
        <x:v>Transmission</x:v>
      </x:c>
      <x:c r="H4" s="35" t="str">
        <x:v>Notes</x:v>
      </x:c>
    </x:row>
    <x:row r="5">
      <x:c r="A5" s="36" t="str">
        <x:v>Employer reference</x:v>
      </x:c>
      <x:c r="B5" s="36" t="str">
        <x:v>DEMO-EMPLOYER-001</x:v>
      </x:c>
      <x:c r="C5" s="36" t="str">
        <x:v>Employer</x:v>
      </x:c>
      <x:c r="D5" s="36" t="str">
        <x:v>Non-secret reference only</x:v>
      </x:c>
      <x:c r="E5" s="36" t="str">
        <x:v>Employer</x:v>
      </x:c>
      <x:c r="F5" s="36" t="str">
        <x:v>Before run</x:v>
      </x:c>
      <x:c r="G5" s="36" t="str">
        <x:v>SFTP/API later</x:v>
      </x:c>
      <x:c r="H5" s="36" t="str">
        <x:v>No bank details in public prototype.</x:v>
      </x:c>
    </x:row>
    <x:row r="6">
      <x:c r="A6" s="36" t="str">
        <x:v>Eligible employee population</x:v>
      </x:c>
      <x:c r="B6" s="52" t="n">
        <x:f>'Pilot Inputs'!B7</x:f>
        <x:v>10000</x:v>
      </x:c>
      <x:c r="C6" s="36" t="str">
        <x:v>Pilot Inputs</x:v>
      </x:c>
      <x:c r="D6" s="36" t="str">
        <x:v>Aggregated count</x:v>
      </x:c>
      <x:c r="E6" s="36" t="str">
        <x:v>HR/Finance</x:v>
      </x:c>
      <x:c r="F6" s="36" t="str">
        <x:v>Before measurement</x:v>
      </x:c>
      <x:c r="G6" s="36" t="str">
        <x:v>Report</x:v>
      </x:c>
      <x:c r="H6" s="36" t="str">
        <x:v>Population agreed before measurement.</x:v>
      </x:c>
    </x:row>
    <x:row r="7">
      <x:c r="A7" s="36" t="str">
        <x:v>Allocation amount</x:v>
      </x:c>
      <x:c r="B7" s="44" t="n">
        <x:f>'Verified Ledger'!B11</x:f>
        <x:v>310093750</x:v>
      </x:c>
      <x:c r="C7" s="36" t="str">
        <x:v>Verified Ledger</x:v>
      </x:c>
      <x:c r="D7" s="36" t="str">
        <x:v>Only if quality gate passes</x:v>
      </x:c>
      <x:c r="E7" s="36" t="str">
        <x:v>Finance</x:v>
      </x:c>
      <x:c r="F7" s="36" t="str">
        <x:v>After verification</x:v>
      </x:c>
      <x:c r="G7" s="36" t="str">
        <x:v>Instruction only</x:v>
      </x:c>
      <x:c r="H7" s="36" t="str">
        <x:v>Partner executes contribution route.</x:v>
      </x:c>
    </x:row>
    <x:row r="8">
      <x:c r="A8" s="36" t="str">
        <x:v>Per employee value</x:v>
      </x:c>
      <x:c r="B8" s="44" t="n">
        <x:f>'Verified Ledger'!B13</x:f>
        <x:v>31009.375</x:v>
      </x:c>
      <x:c r="C8" s="36" t="str">
        <x:v>Verified Ledger</x:v>
      </x:c>
      <x:c r="D8" s="36" t="str">
        <x:v>No individual records in demo</x:v>
      </x:c>
      <x:c r="E8" s="36" t="str">
        <x:v>Finance</x:v>
      </x:c>
      <x:c r="F8" s="36" t="str">
        <x:v>After verification</x:v>
      </x:c>
      <x:c r="G8" s="36" t="str">
        <x:v>Report</x:v>
      </x:c>
      <x:c r="H8" s="36" t="str">
        <x:v>Actual allocation rules require partner/legal review.</x:v>
      </x:c>
    </x:row>
    <x:row r="9">
      <x:c r="A9" s="36" t="str">
        <x:v>Quality gate</x:v>
      </x:c>
      <x:c r="B9" s="36" t="str">
        <x:f>'Pilot Inputs'!B13</x:f>
        <x:v>Pass</x:v>
      </x:c>
      <x:c r="C9" s="36" t="str">
        <x:v>Pilot Inputs</x:v>
      </x:c>
      <x:c r="D9" s="36" t="str">
        <x:v>Pass required</x:v>
      </x:c>
      <x:c r="E9" s="36" t="str">
        <x:v>Assurance</x:v>
      </x:c>
      <x:c r="F9" s="36" t="str">
        <x:v>Before instruction</x:v>
      </x:c>
      <x:c r="G9" s="36" t="str">
        <x:v>Report</x:v>
      </x:c>
      <x:c r="H9" s="36" t="str">
        <x:v>No verified gain means no pension allocation.</x:v>
      </x:c>
    </x:row>
    <x:row r="10">
      <x:c r="A10" s="36" t="str">
        <x:v>Boundary</x:v>
      </x:c>
      <x:c r="B10" s="36" t="str">
        <x:v>Measurement layer only</x:v>
      </x:c>
      <x:c r="C10" s="36" t="str">
        <x:v>Policy</x:v>
      </x:c>
      <x:c r="D10" s="36" t="str">
        <x:v>No custody/no money movement</x:v>
      </x:c>
      <x:c r="E10" s="36" t="str">
        <x:v>TOMO</x:v>
      </x:c>
      <x:c r="F10" s="36" t="str">
        <x:v>Always</x:v>
      </x:c>
      <x:c r="G10" s="36" t="str">
        <x:v>Public notice</x:v>
      </x:c>
      <x:c r="H10" s="36" t="str">
        <x:v>Regulated partner retains account/custody/execution.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52" hidden="0" customWidth="1"/>
    <x:col min="5" max="5" width="12" hidden="0" customWidth="1"/>
  </x:cols>
  <x:sheetData>
    <x:row r="1" ht="34" customHeight="1">
      <x:c r="A1" s="37" t="str">
        <x:v>Privacy and Upload Checks</x:v>
      </x:c>
      <x:c r="B1" s="37" t="str">
        <x:v>Privacy and Upload Checks</x:v>
      </x:c>
      <x:c r="C1" s="37" t="str">
        <x:v>Privacy and Upload Checks</x:v>
      </x:c>
      <x:c r="D1" s="37" t="str">
        <x:v>Privacy and Upload Checks</x:v>
      </x:c>
      <x:c r="E1" s="37" t="str">
        <x:v>Privacy and Upload Checks</x:v>
      </x:c>
      <x:c r="F1" s="39"/>
      <x:c r="G1" s="39"/>
      <x:c r="H1" s="39"/>
    </x:row>
    <x:row r="2">
      <x:c r="A2" s="38" t="str">
        <x:v>Use this as a pre-flight checklist before any demo upload.</x:v>
      </x:c>
      <x:c r="B2" s="38" t="str">
        <x:v>Use this as a pre-flight checklist before any demo upload.</x:v>
      </x:c>
      <x:c r="C2" s="38" t="str">
        <x:v>Use this as a pre-flight checklist before any demo upload.</x:v>
      </x:c>
      <x:c r="D2" s="38" t="str">
        <x:v>Use this as a pre-flight checklist before any demo upload.</x:v>
      </x:c>
      <x:c r="E2" s="38" t="str">
        <x:v>Use this as a pre-flight checklist before any demo upload.</x:v>
      </x:c>
      <x:c r="F2" s="38" t="str">
        <x:v>Use this as a pre-flight checklist before any demo upload.</x:v>
      </x:c>
      <x:c r="G2" s="38" t="str">
        <x:v>Use this as a pre-flight checklist before any demo upload.</x:v>
      </x:c>
      <x:c r="H2" s="38" t="str">
        <x:v>Use this as a pre-flight checklist before any demo upload.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5" t="str">
        <x:v>Check</x:v>
      </x:c>
      <x:c r="B4" s="35" t="str">
        <x:v>Required answer</x:v>
      </x:c>
      <x:c r="C4" s="35" t="str">
        <x:v>Current demo answer</x:v>
      </x:c>
      <x:c r="D4" s="35" t="str">
        <x:v>Why it matters</x:v>
      </x:c>
      <x:c r="E4" s="35" t="str">
        <x:v>Status</x:v>
      </x:c>
      <x:c r="F4" s="39"/>
      <x:c r="G4" s="39"/>
      <x:c r="H4" s="39"/>
    </x:row>
    <x:row r="5">
      <x:c r="A5" s="36" t="str">
        <x:v>Aggregated workflow/team/department data only</x:v>
      </x:c>
      <x:c r="B5" s="36" t="str">
        <x:v>Yes</x:v>
      </x:c>
      <x:c r="C5" s="36" t="str">
        <x:v>Yes</x:v>
      </x:c>
      <x:c r="D5" s="36" t="str">
        <x:v>Protects employees and keeps public prototype safe.</x:v>
      </x:c>
      <x:c r="E5" s="53" t="str">
        <x:v>Pass</x:v>
      </x:c>
      <x:c r="F5" s="39"/>
      <x:c r="G5" s="39"/>
      <x:c r="H5" s="39"/>
    </x:row>
    <x:row r="6">
      <x:c r="A6" s="36" t="str">
        <x:v>No national IDs or resident identifiers</x:v>
      </x:c>
      <x:c r="B6" s="36" t="str">
        <x:v>Yes</x:v>
      </x:c>
      <x:c r="C6" s="36" t="str">
        <x:v>Yes</x:v>
      </x:c>
      <x:c r="D6" s="36" t="str">
        <x:v>Avoids regulated personal data exposure.</x:v>
      </x:c>
      <x:c r="E6" s="53" t="str">
        <x:v>Pass</x:v>
      </x:c>
      <x:c r="F6" s="39"/>
      <x:c r="G6" s="39"/>
      <x:c r="H6" s="39"/>
    </x:row>
    <x:row r="7">
      <x:c r="A7" s="36" t="str">
        <x:v>No bank or pension account numbers</x:v>
      </x:c>
      <x:c r="B7" s="36" t="str">
        <x:v>Yes</x:v>
      </x:c>
      <x:c r="C7" s="36" t="str">
        <x:v>Yes</x:v>
      </x:c>
      <x:c r="D7" s="36" t="str">
        <x:v>TOMO does not custody or move funds.</x:v>
      </x:c>
      <x:c r="E7" s="53" t="str">
        <x:v>Pass</x:v>
      </x:c>
      <x:c r="F7" s="39"/>
      <x:c r="G7" s="39"/>
      <x:c r="H7" s="39"/>
    </x:row>
    <x:row r="8">
      <x:c r="A8" s="36" t="str">
        <x:v>No individual salary records</x:v>
      </x:c>
      <x:c r="B8" s="36" t="str">
        <x:v>Yes</x:v>
      </x:c>
      <x:c r="C8" s="36" t="str">
        <x:v>Yes</x:v>
      </x:c>
      <x:c r="D8" s="36" t="str">
        <x:v>Demo uses financial outcomes, not personal payroll records.</x:v>
      </x:c>
      <x:c r="E8" s="53" t="str">
        <x:v>Pass</x:v>
      </x:c>
      <x:c r="F8" s="39"/>
      <x:c r="G8" s="39"/>
      <x:c r="H8" s="39"/>
    </x:row>
    <x:row r="9">
      <x:c r="A9" s="36" t="str">
        <x:v>No secrets, API keys, passwords, credentials</x:v>
      </x:c>
      <x:c r="B9" s="36" t="str">
        <x:v>Yes</x:v>
      </x:c>
      <x:c r="C9" s="36" t="str">
        <x:v>Yes</x:v>
      </x:c>
      <x:c r="D9" s="36" t="str">
        <x:v>Prevents credential leakage.</x:v>
      </x:c>
      <x:c r="E9" s="53" t="str">
        <x:v>Pass</x:v>
      </x:c>
      <x:c r="F9" s="39"/>
      <x:c r="G9" s="39"/>
      <x:c r="H9" s="39"/>
    </x:row>
    <x:row r="10">
      <x:c r="A10" s="36" t="str">
        <x:v>No involuntary layoff savings counted</x:v>
      </x:c>
      <x:c r="B10" s="36" t="str">
        <x:v>Yes</x:v>
      </x:c>
      <x:c r="C10" s="36" t="str">
        <x:v>Yes</x:v>
      </x:c>
      <x:c r="D10" s="36" t="str">
        <x:v>Excluded by model boundary.</x:v>
      </x:c>
      <x:c r="E10" s="53" t="str">
        <x:v>Pass</x:v>
      </x:c>
      <x:c r="F10" s="39"/>
      <x:c r="G10" s="39"/>
      <x:c r="H10" s="39"/>
    </x:row>
    <x:row r="11">
      <x:c r="A11" s="36" t="str">
        <x:v>Quality gate documented</x:v>
      </x:c>
      <x:c r="B11" s="36" t="str">
        <x:v>Yes</x:v>
      </x:c>
      <x:c r="C11" s="36" t="str">
        <x:v>Pass</x:v>
      </x:c>
      <x:c r="D11" s="36" t="str">
        <x:v>Allocation permitted only after evidence quality gate.</x:v>
      </x:c>
      <x:c r="E11" s="53" t="str">
        <x:v>Pass</x:v>
      </x:c>
      <x:c r="F11" s="39"/>
      <x:c r="G11" s="39"/>
      <x:c r="H11" s="39"/>
    </x:row>
    <x:row r="12">
      <x:c r="A12" s="36" t="str">
        <x:v>AI costs documented</x:v>
      </x:c>
      <x:c r="B12" s="36" t="str">
        <x:v>Yes</x:v>
      </x:c>
      <x:c r="C12" s="36" t="str">
        <x:v>Yes</x:v>
      </x:c>
      <x:c r="D12" s="36" t="str">
        <x:v>A must be deducted from eligible gross gain.</x:v>
      </x:c>
      <x:c r="E12" s="53" t="str">
        <x:v>Pass</x:v>
      </x:c>
      <x:c r="F12" s="39"/>
      <x:c r="G12" s="39"/>
      <x:c r="H12" s="39"/>
    </x:row>
    <x:row r="13">
      <x:c r="A13" s="36" t="str">
        <x:v>Partner execution boundary clear</x:v>
      </x:c>
      <x:c r="B13" s="36" t="str">
        <x:v>Yes</x:v>
      </x:c>
      <x:c r="C13" s="36" t="str">
        <x:v>Yes</x:v>
      </x:c>
      <x:c r="D13" s="36" t="str">
        <x:v>Regulated partner handles accounts, custody, and contribution execution.</x:v>
      </x:c>
      <x:c r="E13" s="53" t="str">
        <x:v>Pass</x:v>
      </x:c>
      <x:c r="F13" s="39"/>
      <x:c r="G13" s="39"/>
      <x:c r="H13" s="39"/>
    </x:row>
  </x:sheetData>
  <x:mergeCells>
    <x:mergeCell ref="A1:E1"/>
    <x:mergeCell ref="A2:H2"/>
  </x:mergeCells>
  <x:pageMargins left="0.7" right="0.7" top="0.75" bottom="0.75" header="0.3" footer="0.3"/>
</x:worksheet>
</file>