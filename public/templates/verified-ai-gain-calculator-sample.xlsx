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087c64e1ce4eb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erified AI Gain" sheetId="1" r:id="R1c4e945952634c86"/>
    <x:sheet xmlns:r="http://schemas.openxmlformats.org/officeDocument/2006/relationships" name="Assumptions" sheetId="2" r:id="R606ca068680740a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>
      <x:sz val="11"/>
      <x:name val="Carlito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 xfId="0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3c4c91cf584c19" /><Relationship Type="http://schemas.openxmlformats.org/officeDocument/2006/relationships/theme" Target="/xl/theme/theme1.xml" Id="R97b24b1dfa7348a2" /><Relationship Type="http://schemas.openxmlformats.org/officeDocument/2006/relationships/sharedStrings" Target="/xl/sharedStrings.xml" Id="Rb5b4403819474974" /><Relationship Type="http://schemas.openxmlformats.org/officeDocument/2006/relationships/worksheet" Target="/xl/worksheets/sheet1.xml" Id="R1c4e945952634c86" /><Relationship Type="http://schemas.openxmlformats.org/officeDocument/2006/relationships/worksheet" Target="/xl/worksheets/sheet2.xml" Id="R606ca068680740a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sheetData>
    <x:row r="1">
      <x:c r="A1" t="str">
        <x:v>Verified AI Gain Calculator</x:v>
      </x:c>
      <x:c r="B1" t="str"/>
      <x:c r="C1" t="str"/>
    </x:row>
    <x:row r="3">
      <x:c r="A3" t="str">
        <x:v>Metric</x:v>
      </x:c>
      <x:c r="B3" t="str">
        <x:v>Formula / Source</x:v>
      </x:c>
      <x:c r="C3" t="str">
        <x:v>Value</x:v>
      </x:c>
    </x:row>
    <x:row r="4">
      <x:c r="A4" t="str">
        <x:v>Gross AI Gain</x:v>
      </x:c>
      <x:c r="B4" t="str">
        <x:v>Baseline Cost - Post-AI Cost</x:v>
      </x:c>
      <x:c r="C4" t="n">
        <x:f>Assumptions!B2-Assumptions!B3</x:f>
        <x:v>15000000000</x:v>
      </x:c>
    </x:row>
    <x:row r="5">
      <x:c r="A5" t="str">
        <x:v>Adjusted Gross AI Gain</x:v>
      </x:c>
      <x:c r="B5" t="str">
        <x:v>Gross AI Gain * (1 - Adjustment Rate)</x:v>
      </x:c>
      <x:c r="C5" t="n">
        <x:f>C4*(1-Assumptions!B5)</x:f>
        <x:v>13500000000</x:v>
      </x:c>
    </x:row>
    <x:row r="6">
      <x:c r="A6" t="str">
        <x:v>Net Verified AI Gain</x:v>
      </x:c>
      <x:c r="B6" t="str">
        <x:v>Adjusted Gross AI Gain - Annual AI Costs</x:v>
      </x:c>
      <x:c r="C6" t="n">
        <x:f>MAX(0,C5-Assumptions!B4)</x:f>
        <x:v>12000000000</x:v>
      </x:c>
    </x:row>
    <x:row r="7">
      <x:c r="A7" t="str">
        <x:v>Pension Allocation</x:v>
      </x:c>
      <x:c r="B7" t="str">
        <x:v>Net Verified AI Gain * Allocation Rate</x:v>
      </x:c>
      <x:c r="C7" t="n">
        <x:f>IF(C6&lt;=0,0,C6*Assumptions!B6)</x:f>
        <x:v>600000000</x:v>
      </x:c>
    </x:row>
    <x:row r="8">
      <x:c r="A8" t="str">
        <x:v>Company Retained Gain</x:v>
      </x:c>
      <x:c r="B8" t="str">
        <x:v>Net Verified AI Gain - Pension Allocation</x:v>
      </x:c>
      <x:c r="C8" t="n">
        <x:f>IF(C6&lt;=0,0,C6-C7)</x:f>
        <x:v>11400000000</x:v>
      </x:c>
    </x:row>
    <x:row r="9">
      <x:c r="A9" t="str">
        <x:v>Pension Value Per Employee</x:v>
      </x:c>
      <x:c r="B9" t="str">
        <x:v>Pension Allocation / Employees Covered</x:v>
      </x:c>
      <x:c r="C9" t="n">
        <x:f>IF(C6&lt;=0,0,C7/Assumptions!B7)</x:f>
        <x:v>60000</x:v>
      </x:c>
    </x:row>
    <x:row r="10">
      <x:c r="A10" t="str">
        <x:v>Status</x:v>
      </x:c>
      <x:c r="B10" t="str">
        <x:v>If Net Verified AI Gain &lt;= 0</x:v>
      </x:c>
      <x:c r="C10" t="str">
        <x:f>IF(C6&lt;=0,"No verified gain, no pension allocation.","Verified AI gain available for pre-agreed allocation.")</x:f>
        <x:v>Verified AI gain available for pre-agreed allocation.</x:v>
      </x:c>
    </x:row>
    <x:row r="11">
      <x:c r="A11" t="str">
        <x:v>Boundary</x:v>
      </x:c>
      <x:c r="B11" t="str">
        <x:v>This is not a donation.</x:v>
      </x:c>
      <x:c r="C11" t="str"/>
    </x:row>
    <x:row r="12">
      <x:c r="A12" t="str">
        <x:v>Boundary</x:v>
      </x:c>
      <x:c r="B12" t="str">
        <x:v>This is not a tax.</x:v>
      </x:c>
      <x:c r="C12" t="str"/>
    </x:row>
    <x:row r="13">
      <x:c r="A13" t="str">
        <x:v>Boundary</x:v>
      </x:c>
      <x:c r="B13" t="str">
        <x:v>It does not touch existing profit.</x:v>
      </x:c>
      <x:c r="C13" t="str"/>
    </x:row>
    <x:row r="14">
      <x:c r="A14" t="str">
        <x:v>Boundary</x:v>
      </x:c>
      <x:c r="B14" t="str">
        <x:v>Only newly created and verified AI productivity gains are eligible.</x:v>
      </x:c>
      <x:c r="C14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t="str">
        <x:v>Input</x:v>
      </x:c>
      <x:c r="B1" t="str">
        <x:v>Value</x:v>
      </x:c>
      <x:c r="C1" t="str">
        <x:v>Unit</x:v>
      </x:c>
    </x:row>
    <x:row r="2">
      <x:c r="A2" t="str">
        <x:v>Baseline Annual Process Cost</x:v>
      </x:c>
      <x:c r="B2" t="n">
        <x:v>25000000000</x:v>
      </x:c>
      <x:c r="C2" t="str">
        <x:v>JPY</x:v>
      </x:c>
    </x:row>
    <x:row r="3">
      <x:c r="A3" t="str">
        <x:v>Post-AI Annual Process Cost</x:v>
      </x:c>
      <x:c r="B3" t="n">
        <x:v>10000000000</x:v>
      </x:c>
      <x:c r="C3" t="str">
        <x:v>JPY</x:v>
      </x:c>
    </x:row>
    <x:row r="4">
      <x:c r="A4" t="str">
        <x:v>Annual AI Costs</x:v>
      </x:c>
      <x:c r="B4" t="n">
        <x:v>1500000000</x:v>
      </x:c>
      <x:c r="C4" t="str">
        <x:v>JPY</x:v>
      </x:c>
    </x:row>
    <x:row r="5">
      <x:c r="A5" t="str">
        <x:v>Adjustment Rate</x:v>
      </x:c>
      <x:c r="B5" t="n">
        <x:v>0.1</x:v>
      </x:c>
      <x:c r="C5" t="str">
        <x:v>%</x:v>
      </x:c>
    </x:row>
    <x:row r="6">
      <x:c r="A6" t="str">
        <x:v>Allocation Rate</x:v>
      </x:c>
      <x:c r="B6" t="n">
        <x:v>0.05</x:v>
      </x:c>
      <x:c r="C6" t="str">
        <x:v>%</x:v>
      </x:c>
    </x:row>
    <x:row r="7">
      <x:c r="A7" t="str">
        <x:v>Employees Covered</x:v>
      </x:c>
      <x:c r="B7" t="n">
        <x:v>10000</x:v>
      </x:c>
      <x:c r="C7" t="str">
        <x:v>Employees</x:v>
      </x:c>
    </x:row>
    <x:row r="8">
      <x:c r="A8" t="str">
        <x:v>Note</x:v>
      </x:c>
      <x:c r="B8" t="str">
        <x:v>Default aligns with Medium shortcut: ¥60,000 per employee per year.</x:v>
      </x:c>
      <x:c r="C8" t="str"/>
    </x:row>
  </x:sheetData>
  <x:pageMargins left="0.7" right="0.7" top="0.75" bottom="0.75" header="0.3" footer="0.3"/>
</x:worksheet>
</file>