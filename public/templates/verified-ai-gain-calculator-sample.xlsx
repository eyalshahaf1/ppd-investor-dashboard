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b19bd6893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AI Gain Ledger" sheetId="1" r:id="R71746042d94440ad"/>
    <x:sheet xmlns:r="http://schemas.openxmlformats.org/officeDocument/2006/relationships" name="Inputs" sheetId="2" r:id="R32e9f315ca46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f79f4640c4106" /><Relationship Type="http://schemas.openxmlformats.org/officeDocument/2006/relationships/theme" Target="/xl/theme/theme1.xml" Id="R739e5d8c6368478e" /><Relationship Type="http://schemas.microsoft.com/office/2022/11/relationships/FeaturePropertyBag" Target="/xl/featurePropertyBag/featurePropertyBag.xml" Id="Rb7b27c8900904484" /><Relationship Type="http://schemas.openxmlformats.org/officeDocument/2006/relationships/sharedStrings" Target="/xl/sharedStrings.xml" Id="R571c48cb7f204cfa" /><Relationship Type="http://schemas.openxmlformats.org/officeDocument/2006/relationships/worksheet" Target="/xl/worksheets/sheet1.xml" Id="R71746042d94440ad" /><Relationship Type="http://schemas.openxmlformats.org/officeDocument/2006/relationships/worksheet" Target="/xl/worksheets/sheet2.xml" Id="R32e9f315ca4642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Verified AI Gain Ledger</x:v>
      </x:c>
      <x:c r="B1" t="str"/>
      <x:c r="C1" t="str"/>
    </x:row>
    <x:row r="3">
      <x:c r="A3" t="str">
        <x:v>Metric</x:v>
      </x:c>
      <x:c r="B3" t="str">
        <x:v>Formula / Source</x:v>
      </x:c>
      <x:c r="C3" t="str">
        <x:v>Value</x:v>
      </x:c>
    </x:row>
    <x:row r="4">
      <x:c r="A4" t="str">
        <x:v>Eligible Gross Gain</x:v>
      </x:c>
      <x:c r="B4" t="str">
        <x:v>O + S + Q + M</x:v>
      </x:c>
      <x:c r="C4" t="n">
        <x:f>Inputs!B2+Inputs!B3+Inputs!B4+Inputs!B5</x:f>
        <x:v>14500000000</x:v>
      </x:c>
    </x:row>
    <x:row r="5">
      <x:c r="A5" t="str">
        <x:v>Adjusted Gross AI Gain</x:v>
      </x:c>
      <x:c r="B5" t="str">
        <x:v>Eligible Gross Gain * (1 - a)</x:v>
      </x:c>
      <x:c r="C5" t="n">
        <x:f>C4*(1-Inputs!B7)</x:f>
        <x:v>13050000000</x:v>
      </x:c>
    </x:row>
    <x:row r="6">
      <x:c r="A6" t="str">
        <x:v>Net Verified AI Gain</x:v>
      </x:c>
      <x:c r="B6" t="str">
        <x:v>MAX(0, Adjusted Gross AI Gain - A)</x:v>
      </x:c>
      <x:c r="C6" t="n">
        <x:f>MAX(0,C5-Inputs!B6)</x:f>
        <x:v>12000000000</x:v>
      </x:c>
    </x:row>
    <x:row r="7">
      <x:c r="A7" t="str">
        <x:v>Pension Productivity Dividend Contribution</x:v>
      </x:c>
      <x:c r="B7" t="str">
        <x:v>Net Verified AI Gain * d, only when both gates pass</x:v>
      </x:c>
      <x:c r="C7" t="n">
        <x:f>IF(OR(C6&lt;=0,Inputs!B10=FALSE,Inputs!B11=FALSE),0,C6*Inputs!B8)</x:f>
        <x:v>600000000</x:v>
      </x:c>
    </x:row>
    <x:row r="8">
      <x:c r="A8" t="str">
        <x:v>Company Retained Gain</x:v>
      </x:c>
      <x:c r="B8" t="str">
        <x:v>Net Verified AI Gain - Contribution</x:v>
      </x:c>
      <x:c r="C8" t="n">
        <x:f>IF(C6&lt;=0,0,C6-C7)</x:f>
        <x:v>11400000000</x:v>
      </x:c>
    </x:row>
    <x:row r="9">
      <x:c r="A9" t="str">
        <x:v>Contribution per Eligible Employee</x:v>
      </x:c>
      <x:c r="B9" t="str">
        <x:v>Contribution / E</x:v>
      </x:c>
      <x:c r="C9" t="n">
        <x:f>IF(C7&lt;=0,0,C7/Inputs!B9)</x:f>
        <x:v>60000</x:v>
      </x:c>
    </x:row>
    <x:row r="10">
      <x:c r="A10" t="str">
        <x:v>Status</x:v>
      </x:c>
      <x:c r="B10" t="str">
        <x:v>No verified gain or failed gate = no pension allocation</x:v>
      </x:c>
      <x:c r="C10" t="str">
        <x:f>IF(C7&lt;=0,"No verified gain, failed gate, or no pre-agreed allocation population: no pension allocation.","Ready for partner confirmation after CFO reconciliation and quality review.")</x:f>
        <x:v>Ready for partner confirmation after CFO reconciliation and quality review.</x:v>
      </x:c>
    </x:row>
    <x:row r="11">
      <x:c r="A11" t="str">
        <x:v>Boundary</x:v>
      </x:c>
      <x:c r="B11" t="str">
        <x:v>This is not a donation.</x:v>
      </x:c>
      <x:c r="C11" t="str"/>
    </x:row>
    <x:row r="12">
      <x:c r="A12" t="str">
        <x:v>Boundary</x:v>
      </x:c>
      <x:c r="B12" t="str">
        <x:v>This is not a tax.</x:v>
      </x:c>
      <x:c r="C12" t="str"/>
    </x:row>
    <x:row r="13">
      <x:c r="A13" t="str">
        <x:v>Boundary</x:v>
      </x:c>
      <x:c r="B13" t="str">
        <x:v>PPD does not hold, pool, transfer, invest, or advise on pension assets.</x:v>
      </x:c>
      <x:c r="C13" t="str"/>
    </x:row>
    <x:row r="14">
      <x:c r="A14" t="str">
        <x:v>Boundary</x:v>
      </x:c>
      <x:c r="B14" t="str">
        <x:v>Only newly created and verified AI productivity gains are eligible.</x:v>
      </x:c>
      <x:c r="C14" t="str"/>
    </x:row>
    <x:row r="15">
      <x:c r="A15" t="str">
        <x:v>Pilot</x:v>
      </x:c>
      <x:c r="B15" t="str">
        <x:v>No pension contribution is routed during the measurement pilot.</x:v>
      </x:c>
      <x:c r="C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Input</x:v>
      </x:c>
      <x:c r="B1" t="str">
        <x:v>Value</x:v>
      </x:c>
      <x:c r="C1" t="str">
        <x:v>Unit</x:v>
      </x:c>
    </x:row>
    <x:row r="2">
      <x:c r="A2" t="str">
        <x:v>Avoided overtime cost (O)</x:v>
      </x:c>
      <x:c r="B2" t="n">
        <x:v>3000000000</x:v>
      </x:c>
      <x:c r="C2" t="str">
        <x:v>JPY</x:v>
      </x:c>
    </x:row>
    <x:row r="3">
      <x:c r="A3" t="str">
        <x:v>Avoided outsourcing / contractor cost (S)</x:v>
      </x:c>
      <x:c r="B3" t="n">
        <x:v>2000000000</x:v>
      </x:c>
      <x:c r="C3" t="str">
        <x:v>JPY</x:v>
      </x:c>
    </x:row>
    <x:row r="4">
      <x:c r="A4" t="str">
        <x:v>Quality / rework / compliance savings (Q)</x:v>
      </x:c>
      <x:c r="B4" t="n">
        <x:v>1500000000</x:v>
      </x:c>
      <x:c r="C4" t="str">
        <x:v>JPY</x:v>
      </x:c>
    </x:row>
    <x:row r="5">
      <x:c r="A5" t="str">
        <x:v>Evidenced incremental contribution margin (M)</x:v>
      </x:c>
      <x:c r="B5" t="n">
        <x:v>8000000000</x:v>
      </x:c>
      <x:c r="C5" t="str">
        <x:v>JPY</x:v>
      </x:c>
    </x:row>
    <x:row r="6">
      <x:c r="A6" t="str">
        <x:v>Incremental AI-related costs (A)</x:v>
      </x:c>
      <x:c r="B6" t="n">
        <x:v>1050000000</x:v>
      </x:c>
      <x:c r="C6" t="str">
        <x:v>JPY</x:v>
      </x:c>
    </x:row>
    <x:row r="7">
      <x:c r="A7" t="str">
        <x:v>Evidence adjustment rate (a)</x:v>
      </x:c>
      <x:c r="B7" t="n">
        <x:v>0.1</x:v>
      </x:c>
      <x:c r="C7" t="str">
        <x:v>%</x:v>
      </x:c>
    </x:row>
    <x:row r="8">
      <x:c r="A8" t="str">
        <x:v>Allocation rate (d)</x:v>
      </x:c>
      <x:c r="B8" t="n">
        <x:v>0.05</x:v>
      </x:c>
      <x:c r="C8" t="str">
        <x:v>%</x:v>
      </x:c>
    </x:row>
    <x:row r="9">
      <x:c r="A9" t="str">
        <x:v>Eligible employees (E)</x:v>
      </x:c>
      <x:c r="B9" t="n">
        <x:v>10000</x:v>
      </x:c>
      <x:c r="C9" t="str">
        <x:v>Employees</x:v>
      </x:c>
    </x:row>
    <x:row r="10">
      <x:c r="A10" t="str">
        <x:v>Quality gate passed</x:v>
      </x:c>
      <x:c r="B10" s="1" t="b">
        <x:v>1</x:v>
      </x:c>
      <x:c r="C10" t="str"/>
    </x:row>
    <x:row r="11">
      <x:c r="A11" t="str">
        <x:v>Allocation population agreed before measurement</x:v>
      </x:c>
      <x:c r="B11" s="1" t="b">
        <x:v>1</x:v>
      </x:c>
      <x:c r="C11" t="str"/>
    </x:row>
  </x:sheetData>
  <x:pageMargins left="0.7" right="0.7" top="0.75" bottom="0.75" header="0.3" footer="0.3"/>
</x:worksheet>
</file>